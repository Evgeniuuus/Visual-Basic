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 activeTab="1"/>
  </bookViews>
  <sheets>
    <sheet name="Примеры" sheetId="1" r:id="rId1"/>
    <sheet name="Самостоятельно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F43" i="2" l="1"/>
  <c r="F37" i="2"/>
  <c r="F30" i="2"/>
  <c r="F16" i="2"/>
  <c r="F49" i="2"/>
  <c r="X21" i="2"/>
  <c r="X18" i="2"/>
  <c r="H39" i="1"/>
  <c r="G16" i="2" l="1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H21" i="2"/>
  <c r="V21" i="2"/>
  <c r="L18" i="2"/>
  <c r="S18" i="2"/>
  <c r="V18" i="2"/>
  <c r="J21" i="2"/>
  <c r="N18" i="2"/>
  <c r="F18" i="2"/>
  <c r="K21" i="2"/>
  <c r="R18" i="2"/>
  <c r="R21" i="2"/>
  <c r="O21" i="2"/>
  <c r="K18" i="2"/>
  <c r="P18" i="2"/>
  <c r="G18" i="2"/>
  <c r="F21" i="2"/>
  <c r="I18" i="2"/>
  <c r="S21" i="2"/>
  <c r="G21" i="2"/>
  <c r="M18" i="2"/>
  <c r="O18" i="2"/>
  <c r="M21" i="2"/>
  <c r="J18" i="2"/>
  <c r="T21" i="2"/>
  <c r="U21" i="2"/>
  <c r="H18" i="2"/>
  <c r="L21" i="2"/>
  <c r="N21" i="2"/>
  <c r="Q18" i="2"/>
  <c r="T18" i="2"/>
  <c r="U18" i="2"/>
  <c r="P21" i="2"/>
  <c r="Q21" i="2"/>
  <c r="I21" i="2"/>
  <c r="B53" i="1" l="1"/>
  <c r="B52" i="1"/>
  <c r="B51" i="1"/>
  <c r="B50" i="1"/>
  <c r="B47" i="1"/>
  <c r="B49" i="1"/>
  <c r="B48" i="1"/>
  <c r="B46" i="1"/>
  <c r="B43" i="1"/>
  <c r="D44" i="1"/>
  <c r="D52" i="1"/>
  <c r="D53" i="1"/>
  <c r="D43" i="1"/>
  <c r="A12" i="1"/>
  <c r="D48" i="1"/>
  <c r="D46" i="1"/>
  <c r="B39" i="1"/>
  <c r="E39" i="1"/>
  <c r="D49" i="1"/>
  <c r="D45" i="1"/>
  <c r="D51" i="1"/>
  <c r="D47" i="1"/>
  <c r="D50" i="1"/>
  <c r="C16" i="1" l="1"/>
  <c r="C19" i="1"/>
  <c r="C18" i="1"/>
  <c r="C17" i="1"/>
  <c r="A16" i="1"/>
  <c r="A10" i="1"/>
  <c r="M10" i="1"/>
  <c r="F33" i="1"/>
  <c r="H33" i="1"/>
  <c r="I33" i="1"/>
  <c r="O10" i="1"/>
  <c r="M33" i="1"/>
  <c r="A2" i="1"/>
  <c r="D27" i="1"/>
  <c r="L10" i="1"/>
  <c r="L33" i="1"/>
  <c r="N10" i="1"/>
  <c r="C10" i="1"/>
  <c r="B33" i="1"/>
  <c r="D39" i="1"/>
  <c r="G33" i="1"/>
  <c r="A4" i="1"/>
  <c r="D26" i="1"/>
  <c r="N33" i="1"/>
  <c r="C33" i="1"/>
  <c r="J10" i="1"/>
  <c r="K10" i="1"/>
  <c r="G10" i="1"/>
  <c r="Q10" i="1"/>
  <c r="J33" i="1"/>
  <c r="F39" i="1"/>
  <c r="E10" i="1"/>
  <c r="A19" i="1"/>
  <c r="A6" i="1"/>
  <c r="A18" i="1"/>
  <c r="D24" i="1"/>
  <c r="D33" i="1"/>
  <c r="D25" i="1"/>
  <c r="F10" i="1"/>
  <c r="B10" i="1"/>
  <c r="A17" i="1"/>
  <c r="E33" i="1"/>
  <c r="C39" i="1"/>
  <c r="P10" i="1"/>
  <c r="D10" i="1"/>
  <c r="I10" i="1"/>
  <c r="H10" i="1"/>
  <c r="K33" i="1"/>
</calcChain>
</file>

<file path=xl/sharedStrings.xml><?xml version="1.0" encoding="utf-8"?>
<sst xmlns="http://schemas.openxmlformats.org/spreadsheetml/2006/main" count="43" uniqueCount="22">
  <si>
    <t>Год</t>
  </si>
  <si>
    <t>X</t>
  </si>
  <si>
    <t>Y</t>
  </si>
  <si>
    <t>A</t>
  </si>
  <si>
    <t>Месяц :</t>
  </si>
  <si>
    <t>Олегов Антон</t>
  </si>
  <si>
    <t>Антонов Виктор</t>
  </si>
  <si>
    <t>Викторов Олег</t>
  </si>
  <si>
    <t xml:space="preserve">Номинальная процентная ставка : </t>
  </si>
  <si>
    <t xml:space="preserve">Темп инфляции: </t>
  </si>
  <si>
    <t>Реальная процентная ставка:</t>
  </si>
  <si>
    <t>Функция РеалПроцСтав</t>
  </si>
  <si>
    <t>Функция РеалПроцСтав1</t>
  </si>
  <si>
    <t>Сумма</t>
  </si>
  <si>
    <t>Дата</t>
  </si>
  <si>
    <t>i</t>
  </si>
  <si>
    <t>Новое2</t>
  </si>
  <si>
    <t>Новое1</t>
  </si>
  <si>
    <t>Второе</t>
  </si>
  <si>
    <t xml:space="preserve">Первое </t>
  </si>
  <si>
    <t>правильная последовательность</t>
  </si>
  <si>
    <t>Неправильные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</si>
</sst>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14" fontId="0" fillId="3" borderId="0" xfId="0" applyNumberFormat="1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198120</xdr:colOff>
          <xdr:row>8</xdr:row>
          <xdr:rowOff>160020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464646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46464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55"/>
  <sheetViews>
    <sheetView topLeftCell="A31" workbookViewId="0">
      <selection activeCell="D58" sqref="D58"/>
    </sheetView>
  </sheetViews>
  <sheetFormatPr defaultRowHeight="14.4" x14ac:dyDescent="0.3"/>
  <cols>
    <col min="1" max="1" width="9.109375" style="1"/>
    <col min="2" max="4" width="10.109375" style="1" bestFit="1" customWidth="1"/>
    <col min="5" max="5" width="11.6640625" style="1" bestFit="1" customWidth="1"/>
    <col min="6" max="6" width="11.5546875" style="1" customWidth="1"/>
    <col min="7" max="8" width="9.109375" style="1" customWidth="1"/>
    <col min="9" max="9" width="10.109375" style="1" bestFit="1" customWidth="1"/>
    <col min="10" max="14" width="9.109375" style="1"/>
  </cols>
  <sheetData>
    <row r="1" spans="1:17" x14ac:dyDescent="0.3">
      <c r="A1" s="1" t="s">
        <v>5</v>
      </c>
    </row>
    <row r="2" spans="1:17" x14ac:dyDescent="0.3">
      <c r="A2" s="1" t="str">
        <f>ИНИЦИАЛЫ(A1)</f>
        <v>Олегов А.</v>
      </c>
    </row>
    <row r="3" spans="1:17" x14ac:dyDescent="0.3">
      <c r="A3" s="1" t="s">
        <v>6</v>
      </c>
    </row>
    <row r="4" spans="1:17" x14ac:dyDescent="0.3">
      <c r="A4" s="1" t="str">
        <f>ИНИЦИАЛЫ(A3)</f>
        <v>Антонов В.</v>
      </c>
    </row>
    <row r="5" spans="1:17" x14ac:dyDescent="0.3">
      <c r="A5" s="1" t="s">
        <v>7</v>
      </c>
      <c r="I5" s="2"/>
    </row>
    <row r="6" spans="1:17" x14ac:dyDescent="0.3">
      <c r="A6" s="1" t="str">
        <f>ИНИЦИАЛЫ(A5)</f>
        <v>Викторов О.</v>
      </c>
    </row>
    <row r="7" spans="1:17" x14ac:dyDescent="0.3">
      <c r="C7" s="2"/>
      <c r="D7" s="2"/>
      <c r="E7" s="2"/>
      <c r="F7" s="2"/>
    </row>
    <row r="8" spans="1:17" x14ac:dyDescent="0.3">
      <c r="A8" s="1" t="s">
        <v>0</v>
      </c>
    </row>
    <row r="9" spans="1:17" x14ac:dyDescent="0.3">
      <c r="A9" s="1">
        <v>2008</v>
      </c>
      <c r="B9" s="1">
        <v>2009</v>
      </c>
      <c r="C9" s="1">
        <v>2010</v>
      </c>
      <c r="D9" s="1">
        <v>2011</v>
      </c>
      <c r="E9" s="1">
        <v>2012</v>
      </c>
      <c r="F9" s="1">
        <v>2013</v>
      </c>
      <c r="G9" s="1">
        <v>2014</v>
      </c>
      <c r="H9" s="1">
        <v>2015</v>
      </c>
      <c r="I9" s="1">
        <v>2016</v>
      </c>
      <c r="J9" s="1">
        <v>2017</v>
      </c>
      <c r="K9" s="1">
        <v>2018</v>
      </c>
      <c r="L9" s="1">
        <v>2019</v>
      </c>
      <c r="M9" s="1">
        <v>2020</v>
      </c>
      <c r="N9" s="1">
        <v>2021</v>
      </c>
      <c r="O9" s="1">
        <v>2022</v>
      </c>
      <c r="P9" s="1">
        <v>2023</v>
      </c>
      <c r="Q9" s="1">
        <v>2024</v>
      </c>
    </row>
    <row r="10" spans="1:17" x14ac:dyDescent="0.3">
      <c r="A10" s="1" t="str">
        <f>IF(Начало_Года(A9)=1,"понедельник", IF(Начало_Года(A9)=2,"вторник", IF( Начало_Года(A9)=3,"среда", IF(Начало_Года(A9)=4,"четверг", IF(Начало_Года(A9)=5,"пятница", IF(Начало_Года(A9)=6,"суббота", IF(Начало_Года(A9)=7,"воскресенье",0)))))))</f>
        <v>вторник</v>
      </c>
      <c r="B10" s="1" t="str">
        <f>IF(Начало_Года(B9)=1,"понедельник", IF(Начало_Года(B9)=2,"вторник", IF( Начало_Года(B9)=3,"среда", IF(Начало_Года(B9)=4,"четверг", IF(Начало_Года(B9)=5,"пятница", IF(Начало_Года(B9)=6,"суббота", IF(Начало_Года(B9)=7,"воскресенье",0)))))))</f>
        <v>четверг</v>
      </c>
      <c r="C10" s="1" t="str">
        <f>IF(Начало_Года(C9)=1,"понедельник", IF(Начало_Года(C9)=2,"вторник", IF( Начало_Года(C9)=3,"среда", IF(Начало_Года(C9)=4,"четверг", IF(Начало_Года(C9)=5,"пятница", IF(Начало_Года(C9)=6,"суббота", IF(Начало_Года(C9)=7,"воскресенье",0)))))))</f>
        <v>пятница</v>
      </c>
      <c r="D10" s="1" t="str">
        <f>IF(Начало_Года(D9)=1,"понедельник", IF(Начало_Года(D9)=2,"вторник", IF( Начало_Года(D9)=3,"среда", IF(Начало_Года(D9)=4,"четверг", IF(Начало_Года(D9)=5,"пятница", IF(Начало_Года(D9)=6,"суббота", IF(Начало_Года(D9)=7,"воскресенье",0)))))))</f>
        <v>суббота</v>
      </c>
      <c r="E10" s="1" t="str">
        <f>IF(Начало_Года(E9)=1,"понедельник", IF(Начало_Года(E9)=2,"вторник", IF( Начало_Года(E9)=3,"среда", IF(Начало_Года(E9)=4,"четверг", IF(Начало_Года(E9)=5,"пятница", IF(Начало_Года(E9)=6,"суббота", IF(Начало_Года(E9)=7,"воскресенье",0)))))))</f>
        <v>воскресенье</v>
      </c>
      <c r="F10" s="1" t="str">
        <f>IF(Начало_Года(F9)=1,"понедельник", IF(Начало_Года(F9)=2,"вторник", IF( Начало_Года(F9)=3,"среда", IF(Начало_Года(F9)=4,"четверг", IF(Начало_Года(F9)=5,"пятница", IF(Начало_Года(F9)=6,"суббота", IF(Начало_Года(F9)=7,"воскресенье",0)))))))</f>
        <v>вторник</v>
      </c>
      <c r="G10" s="1" t="str">
        <f>IF(Начало_Года(G9)=1,"понедельник", IF(Начало_Года(G9)=2,"вторник", IF( Начало_Года(G9)=3,"среда", IF(Начало_Года(G9)=4,"четверг", IF(Начало_Года(G9)=5,"пятница", IF(Начало_Года(G9)=6,"суббота", IF(Начало_Года(G9)=7,"воскресенье",0)))))))</f>
        <v>среда</v>
      </c>
      <c r="H10" s="1" t="str">
        <f>IF(Начало_Года(H9)=1,"понедельник", IF(Начало_Года(H9)=2,"вторник", IF( Начало_Года(H9)=3,"среда", IF(Начало_Года(H9)=4,"четверг", IF(Начало_Года(H9)=5,"пятница", IF(Начало_Года(H9)=6,"суббота", IF(Начало_Года(H9)=7,"воскресенье",0)))))))</f>
        <v>четверг</v>
      </c>
      <c r="I10" s="1" t="str">
        <f>IF(Начало_Года(I9)=1,"понедельник", IF(Начало_Года(I9)=2,"вторник", IF( Начало_Года(I9)=3,"среда", IF(Начало_Года(I9)=4,"четверг", IF(Начало_Года(I9)=5,"пятница", IF(Начало_Года(I9)=6,"суббота", IF(Начало_Года(I9)=7,"воскресенье",0)))))))</f>
        <v>пятница</v>
      </c>
      <c r="J10" s="1" t="str">
        <f>IF(Начало_Года(J9)=1,"понедельник", IF(Начало_Года(J9)=2,"вторник", IF( Начало_Года(J9)=3,"среда", IF(Начало_Года(J9)=4,"четверг", IF(Начало_Года(J9)=5,"пятница", IF(Начало_Года(J9)=6,"суббота", IF(Начало_Года(J9)=7,"воскресенье",0)))))))</f>
        <v>воскресенье</v>
      </c>
      <c r="K10" s="1" t="str">
        <f>IF(Начало_Года(K9)=1,"понедельник", IF(Начало_Года(K9)=2,"вторник", IF( Начало_Года(K9)=3,"среда", IF(Начало_Года(K9)=4,"четверг", IF(Начало_Года(K9)=5,"пятница", IF(Начало_Года(K9)=6,"суббота", IF(Начало_Года(K9)=7,"воскресенье",0)))))))</f>
        <v>понедельник</v>
      </c>
      <c r="L10" s="1" t="str">
        <f>IF(Начало_Года(L9)=1,"понедельник", IF(Начало_Года(L9)=2,"вторник", IF( Начало_Года(L9)=3,"среда", IF(Начало_Года(L9)=4,"четверг", IF(Начало_Года(L9)=5,"пятница", IF(Начало_Года(L9)=6,"суббота", IF(Начало_Года(L9)=7,"воскресенье",0)))))))</f>
        <v>вторник</v>
      </c>
      <c r="M10" s="1" t="str">
        <f>IF(Начало_Года(M9)=1,"понедельник", IF(Начало_Года(M9)=2,"вторник", IF( Начало_Года(M9)=3,"среда", IF(Начало_Года(M9)=4,"четверг", IF(Начало_Года(M9)=5,"пятница", IF(Начало_Года(M9)=6,"суббота", IF(Начало_Года(M9)=7,"воскресенье",0)))))))</f>
        <v>среда</v>
      </c>
      <c r="N10" s="1" t="str">
        <f>IF(Начало_Года(N9)=1,"понедельник", IF(Начало_Года(N9)=2,"вторник", IF( Начало_Года(N9)=3,"среда", IF(Начало_Года(N9)=4,"четверг", IF(Начало_Года(N9)=5,"пятница", IF(Начало_Года(N9)=6,"суббота", IF(Начало_Года(N9)=7,"воскресенье",0)))))))</f>
        <v>пятница</v>
      </c>
      <c r="O10" s="1" t="str">
        <f>IF(Начало_Года(O9)=1,"понедельник", IF(Начало_Года(O9)=2,"вторник", IF( Начало_Года(O9)=3,"среда", IF(Начало_Года(O9)=4,"четверг", IF(Начало_Года(O9)=5,"пятница", IF(Начало_Года(O9)=6,"суббота", IF(Начало_Года(O9)=7,"воскресенье",0)))))))</f>
        <v>суббота</v>
      </c>
      <c r="P10" s="1" t="str">
        <f>IF(Начало_Года(P9)=1,"понедельник", IF(Начало_Года(P9)=2,"вторник", IF( Начало_Года(P9)=3,"среда", IF(Начало_Года(P9)=4,"четверг", IF(Начало_Года(P9)=5,"пятница", IF(Начало_Года(P9)=6,"суббота", IF(Начало_Года(P9)=7,"воскресенье",0)))))))</f>
        <v>воскресенье</v>
      </c>
      <c r="Q10" s="1" t="str">
        <f>IF(Начало_Года(Q9)=1,"понедельник", IF(Начало_Года(Q9)=2,"вторник", IF( Начало_Года(Q9)=3,"среда", IF(Начало_Года(Q9)=4,"четверг", IF(Начало_Года(Q9)=5,"пятница", IF(Начало_Года(Q9)=6,"суббота", IF(Начало_Года(Q9)=7,"воскресенье",0)))))))</f>
        <v>понедельник</v>
      </c>
    </row>
    <row r="12" spans="1:17" x14ac:dyDescent="0.3">
      <c r="A12" s="1" t="str">
        <f>Индекс_Кетле(180,80)</f>
        <v>Избыточный вес</v>
      </c>
    </row>
    <row r="13" spans="1:17" x14ac:dyDescent="0.3">
      <c r="A13" s="3"/>
      <c r="B13" s="3"/>
    </row>
    <row r="14" spans="1:17" x14ac:dyDescent="0.3">
      <c r="A14" s="3"/>
      <c r="B14" s="3"/>
    </row>
    <row r="15" spans="1:17" x14ac:dyDescent="0.3">
      <c r="A15" s="3"/>
      <c r="B15" s="3"/>
    </row>
    <row r="16" spans="1:17" x14ac:dyDescent="0.3">
      <c r="A16" s="1" t="str">
        <f>СЕЗОН(C16)</f>
        <v>Лето</v>
      </c>
      <c r="C16" s="2">
        <f>DATE(2003,6,3)</f>
        <v>37775</v>
      </c>
      <c r="E16" s="2"/>
    </row>
    <row r="17" spans="1:15" x14ac:dyDescent="0.3">
      <c r="A17" s="1" t="str">
        <f>СЕЗОН(C17)</f>
        <v>Весна</v>
      </c>
      <c r="B17" s="2"/>
      <c r="C17" s="2">
        <f>DATE(2003,5,3)</f>
        <v>37744</v>
      </c>
    </row>
    <row r="18" spans="1:15" x14ac:dyDescent="0.3">
      <c r="A18" s="1" t="str">
        <f>СЕЗОН(C18)</f>
        <v>Зима</v>
      </c>
      <c r="C18" s="2">
        <f>DATE(2003,1,3)</f>
        <v>37624</v>
      </c>
    </row>
    <row r="19" spans="1:15" x14ac:dyDescent="0.3">
      <c r="A19" s="1" t="str">
        <f>СЕЗОН(C19)</f>
        <v>Осень</v>
      </c>
      <c r="C19" s="2">
        <f>DATE(2003,9,3)</f>
        <v>37867</v>
      </c>
    </row>
    <row r="21" spans="1:15" x14ac:dyDescent="0.3">
      <c r="F21" s="2"/>
    </row>
    <row r="22" spans="1:15" x14ac:dyDescent="0.3">
      <c r="F22" s="2"/>
    </row>
    <row r="23" spans="1:15" x14ac:dyDescent="0.3">
      <c r="B23" s="6" t="s">
        <v>1</v>
      </c>
      <c r="C23" s="6" t="s">
        <v>2</v>
      </c>
      <c r="D23" s="6" t="s">
        <v>3</v>
      </c>
      <c r="F23" s="2"/>
    </row>
    <row r="24" spans="1:15" x14ac:dyDescent="0.3">
      <c r="B24" s="6">
        <v>-2</v>
      </c>
      <c r="C24" s="6">
        <v>4</v>
      </c>
      <c r="D24" s="6">
        <f>A(B24,C24)</f>
        <v>-8</v>
      </c>
      <c r="F24" s="2"/>
    </row>
    <row r="25" spans="1:15" x14ac:dyDescent="0.3">
      <c r="B25" s="6">
        <v>3</v>
      </c>
      <c r="C25" s="6">
        <v>4</v>
      </c>
      <c r="D25" s="6">
        <f t="shared" ref="D25:D27" si="0">A(B25,C25)</f>
        <v>-1</v>
      </c>
      <c r="F25" s="2"/>
    </row>
    <row r="26" spans="1:15" x14ac:dyDescent="0.3">
      <c r="B26" s="6">
        <v>5</v>
      </c>
      <c r="C26" s="6">
        <v>5</v>
      </c>
      <c r="D26" s="6">
        <f t="shared" si="0"/>
        <v>0</v>
      </c>
    </row>
    <row r="27" spans="1:15" x14ac:dyDescent="0.3">
      <c r="B27" s="6">
        <v>6</v>
      </c>
      <c r="C27" s="6">
        <v>3</v>
      </c>
      <c r="D27" s="6">
        <f t="shared" si="0"/>
        <v>1</v>
      </c>
    </row>
    <row r="31" spans="1:15" x14ac:dyDescent="0.3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5" x14ac:dyDescent="0.3">
      <c r="A32" s="1" t="s">
        <v>4</v>
      </c>
      <c r="B32" s="5">
        <v>1</v>
      </c>
      <c r="C32" s="5">
        <v>2</v>
      </c>
      <c r="D32" s="5">
        <v>3</v>
      </c>
      <c r="E32" s="5">
        <v>4</v>
      </c>
      <c r="F32" s="5">
        <v>5</v>
      </c>
      <c r="G32" s="5">
        <v>6</v>
      </c>
      <c r="H32" s="5">
        <v>7</v>
      </c>
      <c r="I32" s="5">
        <v>8</v>
      </c>
      <c r="J32" s="5">
        <v>9</v>
      </c>
      <c r="K32" s="5">
        <v>10</v>
      </c>
      <c r="L32" s="5">
        <v>11</v>
      </c>
      <c r="M32" s="5">
        <v>12</v>
      </c>
      <c r="N32" s="5">
        <v>13</v>
      </c>
      <c r="O32" s="1"/>
    </row>
    <row r="33" spans="2:14" x14ac:dyDescent="0.3">
      <c r="B33" s="5" t="str">
        <f>СЕЗОН2(B32)</f>
        <v>Зима</v>
      </c>
      <c r="C33" s="5" t="str">
        <f t="shared" ref="C33:N33" si="1">СЕЗОН2(C32)</f>
        <v>Зима</v>
      </c>
      <c r="D33" s="5" t="str">
        <f t="shared" si="1"/>
        <v>Весна</v>
      </c>
      <c r="E33" s="5" t="str">
        <f t="shared" si="1"/>
        <v>Весна</v>
      </c>
      <c r="F33" s="5" t="str">
        <f t="shared" si="1"/>
        <v>Весна</v>
      </c>
      <c r="G33" s="5" t="str">
        <f t="shared" si="1"/>
        <v>Лето</v>
      </c>
      <c r="H33" s="5" t="str">
        <f t="shared" si="1"/>
        <v>Лето</v>
      </c>
      <c r="I33" s="5" t="str">
        <f t="shared" si="1"/>
        <v>Лето</v>
      </c>
      <c r="J33" s="5" t="str">
        <f t="shared" si="1"/>
        <v>Осень</v>
      </c>
      <c r="K33" s="5" t="str">
        <f t="shared" si="1"/>
        <v>Осень</v>
      </c>
      <c r="L33" s="5" t="str">
        <f t="shared" si="1"/>
        <v>Осень</v>
      </c>
      <c r="M33" s="5" t="str">
        <f t="shared" si="1"/>
        <v>Зима</v>
      </c>
      <c r="N33" s="4" t="str">
        <f t="shared" si="1"/>
        <v>Неправильный месяц</v>
      </c>
    </row>
    <row r="39" spans="2:14" x14ac:dyDescent="0.3">
      <c r="B39" s="1">
        <f>Результат(1,2,"+")</f>
        <v>3</v>
      </c>
      <c r="C39" s="1">
        <f>Результат(1,2,"-")</f>
        <v>-1</v>
      </c>
      <c r="D39" s="1">
        <f>Результат(1,2,"*")</f>
        <v>2</v>
      </c>
      <c r="E39" s="1">
        <f>Результат(1,2,"/")</f>
        <v>0.5</v>
      </c>
      <c r="F39" s="7" t="str">
        <f>Результат(1,0,"/")</f>
        <v>Деление на ноль</v>
      </c>
      <c r="G39" s="7"/>
      <c r="H39" s="7" t="str">
        <f>Результат(1,2,"жядлпрщыиап")</f>
        <v>нет такой операции</v>
      </c>
      <c r="I39" s="7"/>
    </row>
    <row r="43" spans="2:14" x14ac:dyDescent="0.3">
      <c r="B43" s="2">
        <f>DATE(2003,6,5)</f>
        <v>37777</v>
      </c>
      <c r="D43" s="7" t="str">
        <f>Праздники(B43)</f>
        <v>Рабочий день</v>
      </c>
      <c r="E43" s="7"/>
    </row>
    <row r="44" spans="2:14" x14ac:dyDescent="0.3">
      <c r="B44" s="2"/>
      <c r="D44" s="7" t="str">
        <f>Праздники(B44)</f>
        <v>Выходной</v>
      </c>
      <c r="E44" s="7"/>
    </row>
    <row r="45" spans="2:14" x14ac:dyDescent="0.3">
      <c r="B45" s="2"/>
      <c r="D45" s="7" t="str">
        <f t="shared" ref="D45:D53" si="2">Праздники(B45)</f>
        <v>Выходной</v>
      </c>
      <c r="E45" s="7"/>
    </row>
    <row r="46" spans="2:14" x14ac:dyDescent="0.3">
      <c r="B46" s="2">
        <f>DATE(2003,1,7)</f>
        <v>37628</v>
      </c>
      <c r="D46" s="7" t="str">
        <f t="shared" si="2"/>
        <v>Новогодние праздники</v>
      </c>
      <c r="E46" s="7"/>
    </row>
    <row r="47" spans="2:14" x14ac:dyDescent="0.3">
      <c r="B47" s="2">
        <f>DATE(2003,2,22)</f>
        <v>37674</v>
      </c>
      <c r="D47" s="7" t="str">
        <f>Праздники(B47)</f>
        <v>Выходной</v>
      </c>
      <c r="E47" s="7"/>
    </row>
    <row r="48" spans="2:14" x14ac:dyDescent="0.3">
      <c r="B48" s="2">
        <f t="shared" ref="B48" si="3">DATE(2003,2,23)</f>
        <v>37675</v>
      </c>
      <c r="D48" s="7" t="str">
        <f>Праздники(B48)</f>
        <v>День защитника отечества</v>
      </c>
      <c r="E48" s="7"/>
    </row>
    <row r="49" spans="2:5" x14ac:dyDescent="0.3">
      <c r="B49" s="2">
        <f>DATE(2003,2,24)</f>
        <v>37676</v>
      </c>
      <c r="D49" s="7" t="str">
        <f t="shared" si="2"/>
        <v>Рабочий день</v>
      </c>
      <c r="E49" s="7"/>
    </row>
    <row r="50" spans="2:5" x14ac:dyDescent="0.3">
      <c r="B50" s="2">
        <f>DATE(2003,3,8)</f>
        <v>37688</v>
      </c>
      <c r="D50" s="7" t="str">
        <f t="shared" si="2"/>
        <v>Международный женский день</v>
      </c>
      <c r="E50" s="7"/>
    </row>
    <row r="51" spans="2:5" x14ac:dyDescent="0.3">
      <c r="B51" s="2">
        <f>DATE(2003,5,1)</f>
        <v>37742</v>
      </c>
      <c r="D51" s="7" t="str">
        <f t="shared" si="2"/>
        <v>Первомайские праздники</v>
      </c>
      <c r="E51" s="7"/>
    </row>
    <row r="52" spans="2:5" x14ac:dyDescent="0.3">
      <c r="B52" s="2">
        <f>DATE(2003,5,9)</f>
        <v>37750</v>
      </c>
      <c r="D52" s="7" t="str">
        <f t="shared" si="2"/>
        <v>День победы</v>
      </c>
      <c r="E52" s="7"/>
    </row>
    <row r="53" spans="2:5" x14ac:dyDescent="0.3">
      <c r="B53" s="2">
        <f>DATE(2003,11,4)</f>
        <v>37929</v>
      </c>
      <c r="D53" s="7" t="str">
        <f t="shared" si="2"/>
        <v>День Примерения и согласия</v>
      </c>
      <c r="E53" s="7"/>
    </row>
    <row r="54" spans="2:5" x14ac:dyDescent="0.3">
      <c r="B54" s="2"/>
      <c r="D54" s="7"/>
      <c r="E54" s="7"/>
    </row>
    <row r="55" spans="2:5" x14ac:dyDescent="0.3">
      <c r="D55" s="7"/>
      <c r="E55" s="7"/>
    </row>
  </sheetData>
  <mergeCells count="15">
    <mergeCell ref="D46:E46"/>
    <mergeCell ref="F39:G39"/>
    <mergeCell ref="H39:I39"/>
    <mergeCell ref="D43:E43"/>
    <mergeCell ref="D44:E44"/>
    <mergeCell ref="D45:E45"/>
    <mergeCell ref="D53:E53"/>
    <mergeCell ref="D54:E54"/>
    <mergeCell ref="D55:E55"/>
    <mergeCell ref="D47:E47"/>
    <mergeCell ref="D48:E48"/>
    <mergeCell ref="D49:E49"/>
    <mergeCell ref="D50:E50"/>
    <mergeCell ref="D51:E51"/>
    <mergeCell ref="D52:E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2:X49"/>
  <sheetViews>
    <sheetView tabSelected="1" topLeftCell="A25" workbookViewId="0">
      <selection activeCell="F48" sqref="F48"/>
    </sheetView>
  </sheetViews>
  <sheetFormatPr defaultRowHeight="14.4" x14ac:dyDescent="0.3"/>
  <cols>
    <col min="3" max="3" width="12.44140625" customWidth="1"/>
    <col min="4" max="4" width="11.5546875" customWidth="1"/>
    <col min="5" max="5" width="11.6640625" customWidth="1"/>
    <col min="6" max="6" width="12.88671875" customWidth="1"/>
    <col min="7" max="7" width="8.88671875" customWidth="1"/>
  </cols>
  <sheetData>
    <row r="12" spans="2:24" x14ac:dyDescent="0.3">
      <c r="B12" t="s">
        <v>8</v>
      </c>
      <c r="F12">
        <v>0.05</v>
      </c>
      <c r="G12">
        <v>0.05</v>
      </c>
      <c r="H12">
        <v>0.05</v>
      </c>
      <c r="I12">
        <v>0.05</v>
      </c>
      <c r="J12">
        <v>0.05</v>
      </c>
      <c r="K12">
        <v>0.05</v>
      </c>
      <c r="L12">
        <v>0.05</v>
      </c>
      <c r="M12">
        <v>0.05</v>
      </c>
      <c r="N12">
        <v>0.05</v>
      </c>
      <c r="O12">
        <v>0.05</v>
      </c>
      <c r="P12">
        <v>0.05</v>
      </c>
      <c r="Q12">
        <v>0.05</v>
      </c>
      <c r="R12">
        <v>0.05</v>
      </c>
      <c r="S12">
        <v>0.05</v>
      </c>
      <c r="T12">
        <v>0.05</v>
      </c>
      <c r="U12">
        <v>0.05</v>
      </c>
      <c r="V12">
        <v>0.05</v>
      </c>
      <c r="X12">
        <v>0.05</v>
      </c>
    </row>
    <row r="14" spans="2:24" x14ac:dyDescent="0.3">
      <c r="B14" t="s">
        <v>9</v>
      </c>
      <c r="F14">
        <v>-2</v>
      </c>
      <c r="G14">
        <v>-1.75</v>
      </c>
      <c r="H14">
        <v>-1.5</v>
      </c>
      <c r="I14">
        <v>-1.25</v>
      </c>
      <c r="J14">
        <v>-1</v>
      </c>
      <c r="K14">
        <v>-0.75</v>
      </c>
      <c r="L14">
        <v>-0.5</v>
      </c>
      <c r="M14">
        <v>-0.25</v>
      </c>
      <c r="N14">
        <v>0</v>
      </c>
      <c r="O14">
        <v>0.25</v>
      </c>
      <c r="P14">
        <v>0.5</v>
      </c>
      <c r="Q14">
        <v>0.75</v>
      </c>
      <c r="R14">
        <v>1</v>
      </c>
      <c r="S14">
        <v>1.25</v>
      </c>
      <c r="T14">
        <v>1.5</v>
      </c>
      <c r="U14">
        <v>1.75</v>
      </c>
      <c r="V14">
        <v>2</v>
      </c>
      <c r="X14">
        <v>0.05</v>
      </c>
    </row>
    <row r="16" spans="2:24" x14ac:dyDescent="0.3">
      <c r="B16" t="s">
        <v>10</v>
      </c>
      <c r="F16">
        <f>(F12-F14)/(1+F14)</f>
        <v>-2.0499999999999998</v>
      </c>
      <c r="G16">
        <f t="shared" ref="G16:V16" si="0">(G12-G14)/(1+G14)</f>
        <v>-2.4</v>
      </c>
      <c r="H16">
        <f t="shared" si="0"/>
        <v>-3.1</v>
      </c>
      <c r="I16">
        <f t="shared" si="0"/>
        <v>-5.2</v>
      </c>
      <c r="J16" t="e">
        <f t="shared" si="0"/>
        <v>#DIV/0!</v>
      </c>
      <c r="K16">
        <f t="shared" si="0"/>
        <v>3.2</v>
      </c>
      <c r="L16">
        <f t="shared" si="0"/>
        <v>1.1000000000000001</v>
      </c>
      <c r="M16">
        <f t="shared" si="0"/>
        <v>0.39999999999999997</v>
      </c>
      <c r="N16">
        <f t="shared" si="0"/>
        <v>0.05</v>
      </c>
      <c r="O16">
        <f t="shared" si="0"/>
        <v>-0.16</v>
      </c>
      <c r="P16">
        <f t="shared" si="0"/>
        <v>-0.3</v>
      </c>
      <c r="Q16">
        <f t="shared" si="0"/>
        <v>-0.39999999999999997</v>
      </c>
      <c r="R16">
        <f t="shared" si="0"/>
        <v>-0.47499999999999998</v>
      </c>
      <c r="S16">
        <f t="shared" si="0"/>
        <v>-0.53333333333333333</v>
      </c>
      <c r="T16">
        <f t="shared" si="0"/>
        <v>-0.57999999999999996</v>
      </c>
      <c r="U16">
        <f t="shared" si="0"/>
        <v>-0.61818181818181817</v>
      </c>
      <c r="V16">
        <f t="shared" si="0"/>
        <v>-0.65</v>
      </c>
    </row>
    <row r="18" spans="2:24" x14ac:dyDescent="0.3">
      <c r="B18" t="s">
        <v>11</v>
      </c>
      <c r="F18" t="str">
        <f>РеалПроцСтав(F12,F14)</f>
        <v>Отрицательная</v>
      </c>
      <c r="G18" t="str">
        <f t="shared" ref="G18:V18" si="1">РеалПроцСтав(G12,G14)</f>
        <v>Отрицательная</v>
      </c>
      <c r="H18" t="str">
        <f t="shared" si="1"/>
        <v>Отрицательная</v>
      </c>
      <c r="I18" t="str">
        <f t="shared" si="1"/>
        <v>Отрицательная</v>
      </c>
      <c r="J18" t="str">
        <f t="shared" si="1"/>
        <v>Ошибка</v>
      </c>
      <c r="K18" t="str">
        <f t="shared" si="1"/>
        <v>Положительная</v>
      </c>
      <c r="L18" t="str">
        <f t="shared" si="1"/>
        <v>Положительная</v>
      </c>
      <c r="M18" t="str">
        <f t="shared" si="1"/>
        <v>Положительная</v>
      </c>
      <c r="N18" t="str">
        <f t="shared" si="1"/>
        <v>Положительная</v>
      </c>
      <c r="O18" t="str">
        <f t="shared" si="1"/>
        <v>Отрицательная</v>
      </c>
      <c r="P18" t="str">
        <f t="shared" si="1"/>
        <v>Отрицательная</v>
      </c>
      <c r="Q18" t="str">
        <f t="shared" si="1"/>
        <v>Отрицательная</v>
      </c>
      <c r="R18" t="str">
        <f t="shared" si="1"/>
        <v>Отрицательная</v>
      </c>
      <c r="S18" t="str">
        <f t="shared" si="1"/>
        <v>Отрицательная</v>
      </c>
      <c r="T18" t="str">
        <f t="shared" si="1"/>
        <v>Отрицательная</v>
      </c>
      <c r="U18" t="str">
        <f t="shared" si="1"/>
        <v>Отрицательная</v>
      </c>
      <c r="V18" t="str">
        <f t="shared" si="1"/>
        <v>Отрицательная</v>
      </c>
      <c r="X18" t="str">
        <f>РеалПроцСтав(X12,X14)</f>
        <v>Нулевая</v>
      </c>
    </row>
    <row r="21" spans="2:24" x14ac:dyDescent="0.3">
      <c r="B21" t="s">
        <v>12</v>
      </c>
      <c r="F21" t="str">
        <f>РеалПроцСтав1(F12,F14)</f>
        <v>Отрицательная</v>
      </c>
      <c r="G21" t="str">
        <f t="shared" ref="G21:V21" si="2">РеалПроцСтав1(G12,G14)</f>
        <v>Отрицательная</v>
      </c>
      <c r="H21" t="str">
        <f t="shared" si="2"/>
        <v>Отрицательная</v>
      </c>
      <c r="I21" t="str">
        <f t="shared" si="2"/>
        <v>Отрицательная</v>
      </c>
      <c r="J21" t="str">
        <f t="shared" si="2"/>
        <v>Ошибка</v>
      </c>
      <c r="K21" t="str">
        <f t="shared" si="2"/>
        <v>Положительная</v>
      </c>
      <c r="L21" t="str">
        <f t="shared" si="2"/>
        <v>Положительная</v>
      </c>
      <c r="M21" t="str">
        <f t="shared" si="2"/>
        <v>Положительная</v>
      </c>
      <c r="N21" t="str">
        <f t="shared" si="2"/>
        <v>Положительная</v>
      </c>
      <c r="O21" t="str">
        <f t="shared" si="2"/>
        <v>Отрицательная</v>
      </c>
      <c r="P21" t="str">
        <f t="shared" si="2"/>
        <v>Отрицательная</v>
      </c>
      <c r="Q21" t="str">
        <f t="shared" si="2"/>
        <v>Отрицательная</v>
      </c>
      <c r="R21" t="str">
        <f t="shared" si="2"/>
        <v>Отрицательная</v>
      </c>
      <c r="S21" t="str">
        <f t="shared" si="2"/>
        <v>Отрицательная</v>
      </c>
      <c r="T21" t="str">
        <f t="shared" si="2"/>
        <v>Отрицательная</v>
      </c>
      <c r="U21" t="str">
        <f t="shared" si="2"/>
        <v>Отрицательная</v>
      </c>
      <c r="V21" t="str">
        <f t="shared" si="2"/>
        <v>Отрицательная</v>
      </c>
      <c r="X21" t="str">
        <f>РеалПроцСтав1(X12,X14)</f>
        <v>Нулевая</v>
      </c>
    </row>
    <row r="28" spans="2:24" x14ac:dyDescent="0.3">
      <c r="C28" s="9" t="s">
        <v>19</v>
      </c>
      <c r="D28" s="9" t="s">
        <v>18</v>
      </c>
      <c r="E28" s="8" t="s">
        <v>17</v>
      </c>
      <c r="F28" s="8" t="s">
        <v>16</v>
      </c>
      <c r="G28" t="s">
        <v>15</v>
      </c>
      <c r="J28" s="12">
        <v>1</v>
      </c>
      <c r="K28" s="12">
        <v>3</v>
      </c>
      <c r="L28" s="12">
        <v>2</v>
      </c>
      <c r="M28" s="12">
        <v>4</v>
      </c>
      <c r="O28" t="s">
        <v>20</v>
      </c>
    </row>
    <row r="29" spans="2:24" x14ac:dyDescent="0.3">
      <c r="B29" t="s">
        <v>14</v>
      </c>
      <c r="C29" s="11">
        <v>45536</v>
      </c>
      <c r="D29" s="11">
        <v>45566</v>
      </c>
      <c r="E29" s="10">
        <v>45550</v>
      </c>
      <c r="F29" s="10">
        <v>45580</v>
      </c>
      <c r="G29">
        <v>0.06</v>
      </c>
      <c r="J29" s="12"/>
      <c r="K29" s="12"/>
      <c r="L29" s="12"/>
      <c r="M29" s="12"/>
    </row>
    <row r="30" spans="2:24" x14ac:dyDescent="0.3">
      <c r="B30" t="s">
        <v>13</v>
      </c>
      <c r="C30" s="9">
        <v>10000</v>
      </c>
      <c r="D30" s="9">
        <v>20000</v>
      </c>
      <c r="E30" s="8">
        <v>15000</v>
      </c>
      <c r="F30">
        <f>Пересчет2(C30,C29,D30,D29,E30,E29,F29,G29)</f>
        <v>15044.327538537982</v>
      </c>
      <c r="J30" s="12"/>
      <c r="K30" s="12"/>
      <c r="L30" s="12"/>
      <c r="M30" s="12"/>
    </row>
    <row r="31" spans="2:24" x14ac:dyDescent="0.3">
      <c r="J31" s="12"/>
      <c r="K31" s="12"/>
      <c r="L31" s="12"/>
      <c r="M31" s="12"/>
    </row>
    <row r="32" spans="2:24" x14ac:dyDescent="0.3">
      <c r="J32" s="12"/>
      <c r="K32" s="12"/>
      <c r="L32" s="12"/>
      <c r="M32" s="12"/>
    </row>
    <row r="33" spans="2:15" x14ac:dyDescent="0.3">
      <c r="J33" s="12"/>
      <c r="K33" s="12"/>
      <c r="L33" s="12"/>
      <c r="M33" s="12"/>
    </row>
    <row r="34" spans="2:15" x14ac:dyDescent="0.3">
      <c r="J34" s="12"/>
      <c r="K34" s="12"/>
      <c r="L34" s="12"/>
      <c r="M34" s="12"/>
    </row>
    <row r="35" spans="2:15" x14ac:dyDescent="0.3">
      <c r="C35" s="9" t="s">
        <v>19</v>
      </c>
      <c r="D35" s="9" t="s">
        <v>18</v>
      </c>
      <c r="E35" s="8" t="s">
        <v>17</v>
      </c>
      <c r="F35" s="8" t="s">
        <v>16</v>
      </c>
      <c r="G35" t="s">
        <v>15</v>
      </c>
      <c r="J35" s="13">
        <v>3</v>
      </c>
      <c r="K35" s="13">
        <v>1</v>
      </c>
      <c r="L35" s="12">
        <v>2</v>
      </c>
      <c r="M35" s="12">
        <v>4</v>
      </c>
    </row>
    <row r="36" spans="2:15" x14ac:dyDescent="0.3">
      <c r="B36" t="s">
        <v>14</v>
      </c>
      <c r="C36" s="11">
        <v>45566</v>
      </c>
      <c r="D36" s="11">
        <v>45536</v>
      </c>
      <c r="E36" s="10">
        <v>45550</v>
      </c>
      <c r="F36" s="10">
        <v>45580</v>
      </c>
      <c r="G36">
        <v>0.06</v>
      </c>
      <c r="J36" s="12"/>
      <c r="K36" s="12"/>
      <c r="L36" s="12"/>
      <c r="M36" s="12"/>
    </row>
    <row r="37" spans="2:15" x14ac:dyDescent="0.3">
      <c r="B37" t="s">
        <v>13</v>
      </c>
      <c r="C37" s="9">
        <v>10000</v>
      </c>
      <c r="D37" s="9">
        <v>20000</v>
      </c>
      <c r="E37" s="8">
        <v>15000</v>
      </c>
      <c r="F37" t="str">
        <f>Пересчет2(C37,C36,D37,D36,E37,E36,F36,G36)</f>
        <v>Ошибка в датах</v>
      </c>
      <c r="J37" s="12"/>
      <c r="K37" s="12"/>
      <c r="L37" s="12"/>
      <c r="M37" s="12"/>
    </row>
    <row r="38" spans="2:15" x14ac:dyDescent="0.3">
      <c r="J38" s="12"/>
      <c r="K38" s="12"/>
      <c r="L38" s="12"/>
      <c r="M38" s="12"/>
    </row>
    <row r="39" spans="2:15" x14ac:dyDescent="0.3">
      <c r="J39" s="12"/>
      <c r="K39" s="12"/>
      <c r="L39" s="12"/>
      <c r="M39" s="12"/>
    </row>
    <row r="40" spans="2:15" x14ac:dyDescent="0.3">
      <c r="J40" s="12"/>
      <c r="K40" s="12"/>
      <c r="L40" s="12"/>
      <c r="M40" s="12"/>
    </row>
    <row r="41" spans="2:15" x14ac:dyDescent="0.3">
      <c r="C41" s="9" t="s">
        <v>19</v>
      </c>
      <c r="D41" s="9" t="s">
        <v>18</v>
      </c>
      <c r="E41" s="8" t="s">
        <v>17</v>
      </c>
      <c r="F41" s="8" t="s">
        <v>16</v>
      </c>
      <c r="G41" t="s">
        <v>15</v>
      </c>
      <c r="J41" s="12">
        <v>1</v>
      </c>
      <c r="K41" s="13">
        <v>2</v>
      </c>
      <c r="L41" s="13">
        <v>3</v>
      </c>
      <c r="M41" s="12">
        <v>4</v>
      </c>
      <c r="O41" t="s">
        <v>21</v>
      </c>
    </row>
    <row r="42" spans="2:15" x14ac:dyDescent="0.3">
      <c r="B42" t="s">
        <v>14</v>
      </c>
      <c r="C42" s="11">
        <v>45536</v>
      </c>
      <c r="D42" s="11">
        <v>45550</v>
      </c>
      <c r="E42" s="10">
        <v>45566</v>
      </c>
      <c r="F42" s="10">
        <v>45580</v>
      </c>
      <c r="G42">
        <v>0.06</v>
      </c>
      <c r="J42" s="12"/>
      <c r="K42" s="12"/>
      <c r="L42" s="12"/>
      <c r="M42" s="12"/>
    </row>
    <row r="43" spans="2:15" x14ac:dyDescent="0.3">
      <c r="B43" t="s">
        <v>13</v>
      </c>
      <c r="C43" s="9">
        <v>10000</v>
      </c>
      <c r="D43" s="9">
        <v>20000</v>
      </c>
      <c r="E43" s="8">
        <v>15000</v>
      </c>
      <c r="F43" t="str">
        <f>Пересчет2(C43,C42,D43,D42,E43,E42,F42,G42)</f>
        <v>Ошибка в датах</v>
      </c>
      <c r="J43" s="12"/>
      <c r="K43" s="12"/>
      <c r="L43" s="12"/>
      <c r="M43" s="12"/>
    </row>
    <row r="44" spans="2:15" x14ac:dyDescent="0.3">
      <c r="J44" s="12"/>
      <c r="K44" s="12"/>
      <c r="L44" s="12"/>
      <c r="M44" s="12"/>
    </row>
    <row r="45" spans="2:15" x14ac:dyDescent="0.3">
      <c r="J45" s="12"/>
      <c r="K45" s="12"/>
      <c r="L45" s="12"/>
      <c r="M45" s="12"/>
    </row>
    <row r="46" spans="2:15" x14ac:dyDescent="0.3">
      <c r="J46" s="12"/>
      <c r="K46" s="12"/>
      <c r="L46" s="12"/>
      <c r="M46" s="12"/>
    </row>
    <row r="47" spans="2:15" x14ac:dyDescent="0.3">
      <c r="C47" s="9" t="s">
        <v>19</v>
      </c>
      <c r="D47" s="9" t="s">
        <v>18</v>
      </c>
      <c r="E47" s="8" t="s">
        <v>17</v>
      </c>
      <c r="F47" s="8" t="s">
        <v>16</v>
      </c>
      <c r="G47" t="s">
        <v>15</v>
      </c>
      <c r="J47" s="12">
        <v>1</v>
      </c>
      <c r="K47" s="12">
        <v>3</v>
      </c>
      <c r="L47" s="13">
        <v>4</v>
      </c>
      <c r="M47" s="13">
        <v>2</v>
      </c>
    </row>
    <row r="48" spans="2:15" x14ac:dyDescent="0.3">
      <c r="B48" t="s">
        <v>14</v>
      </c>
      <c r="C48" s="11">
        <v>45536</v>
      </c>
      <c r="D48" s="11">
        <v>45566</v>
      </c>
      <c r="E48" s="10">
        <v>45580</v>
      </c>
      <c r="F48" s="10">
        <v>45550</v>
      </c>
      <c r="G48">
        <v>0.06</v>
      </c>
    </row>
    <row r="49" spans="2:6" x14ac:dyDescent="0.3">
      <c r="B49" t="s">
        <v>13</v>
      </c>
      <c r="C49" s="9">
        <v>10000</v>
      </c>
      <c r="D49" s="9">
        <v>20000</v>
      </c>
      <c r="E49" s="8">
        <v>15000</v>
      </c>
      <c r="F49" t="str">
        <f>Пересчет2(C49,C48,D49,D48,E49,E48,F48,G48)</f>
        <v>Ошибка в датах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198120</xdr:colOff>
                <xdr:row>8</xdr:row>
                <xdr:rowOff>160020</xdr:rowOff>
              </to>
            </anchor>
          </objectPr>
        </oleObject>
      </mc:Choice>
      <mc:Fallback>
        <oleObject progId="Equation.DSMT4" shapeId="1025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Примеры</vt:lpstr>
      <vt:lpstr>Самостоятельно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2024-10-19T07:22:39Z</dcterms:modified>
</cp:coreProperties>
</file>